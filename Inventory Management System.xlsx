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2DED727-EFA7-402A-AB2B-3A26B4B0BF05}" xr6:coauthVersionLast="47" xr6:coauthVersionMax="47" xr10:uidLastSave="{00000000-0000-0000-0000-000000000000}"/>
  <bookViews>
    <workbookView xWindow="-120" yWindow="-120" windowWidth="20730" windowHeight="11160" activeTab="1" xr2:uid="{5D31E388-B1EA-4599-8FDA-EE5C35A500B1}"/>
  </bookViews>
  <sheets>
    <sheet name="Inventory sheet" sheetId="1" r:id="rId1"/>
    <sheet name="Order summary" sheetId="3" r:id="rId2"/>
    <sheet name="Vendor 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1" i="1"/>
  <c r="C17" i="1"/>
  <c r="F10" i="3" a="1"/>
  <c r="F10" i="3" s="1"/>
  <c r="C8" i="1"/>
  <c r="C9" i="1"/>
  <c r="C10" i="1"/>
  <c r="C11" i="1"/>
  <c r="C12" i="1"/>
  <c r="C13" i="1"/>
  <c r="C14" i="1"/>
  <c r="C15" i="1"/>
  <c r="C16" i="1"/>
  <c r="C18" i="1"/>
  <c r="C19" i="1"/>
  <c r="C20" i="1"/>
  <c r="C21" i="1"/>
  <c r="F21" i="1"/>
  <c r="G21" i="1"/>
  <c r="I21" i="1"/>
  <c r="F7" i="3" a="1"/>
  <c r="F7" i="3" s="1"/>
  <c r="F4" i="1"/>
  <c r="F5" i="1" s="1"/>
  <c r="C5" i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I8" i="1"/>
  <c r="J8" i="1" s="1"/>
  <c r="I20" i="1"/>
  <c r="F20" i="1"/>
  <c r="G20" i="1" s="1"/>
  <c r="I19" i="1"/>
  <c r="J19" i="1" s="1"/>
  <c r="F19" i="1"/>
  <c r="G19" i="1" s="1"/>
  <c r="I18" i="1"/>
  <c r="F18" i="1"/>
  <c r="G18" i="1" s="1"/>
  <c r="I17" i="1"/>
  <c r="J17" i="1" s="1"/>
  <c r="F17" i="1"/>
  <c r="G17" i="1" s="1"/>
  <c r="I16" i="1"/>
  <c r="J16" i="1" s="1"/>
  <c r="F16" i="1"/>
  <c r="G16" i="1" s="1"/>
  <c r="I15" i="1"/>
  <c r="F15" i="1"/>
  <c r="G15" i="1" s="1"/>
  <c r="I14" i="1"/>
  <c r="F14" i="1"/>
  <c r="G14" i="1" s="1"/>
  <c r="I13" i="1"/>
  <c r="J13" i="1" s="1"/>
  <c r="F13" i="1"/>
  <c r="G13" i="1" s="1"/>
  <c r="I12" i="1"/>
  <c r="G12" i="1"/>
  <c r="I11" i="1"/>
  <c r="F11" i="1"/>
  <c r="I10" i="1"/>
  <c r="J10" i="1" s="1"/>
  <c r="F10" i="1"/>
  <c r="G10" i="1" s="1"/>
  <c r="I9" i="1"/>
  <c r="F9" i="1"/>
  <c r="G9" i="1" s="1"/>
  <c r="F8" i="1"/>
  <c r="G8" i="1" s="1"/>
  <c r="F11" i="3" l="1" a="1"/>
  <c r="F11" i="3" s="1"/>
  <c r="F13" i="3" a="1"/>
  <c r="F13" i="3" s="1"/>
  <c r="F9" i="3" a="1"/>
  <c r="F9" i="3" s="1"/>
  <c r="F12" i="3" a="1"/>
  <c r="F12" i="3" s="1"/>
  <c r="F8" i="3" a="1"/>
  <c r="F8" i="3" s="1"/>
  <c r="B7" i="3" a="1"/>
  <c r="J21" i="1"/>
  <c r="J15" i="1"/>
  <c r="J11" i="1"/>
  <c r="J18" i="1"/>
  <c r="J14" i="1"/>
  <c r="J9" i="1"/>
  <c r="J20" i="1"/>
  <c r="J12" i="1"/>
  <c r="C4" i="1"/>
  <c r="D8" i="3" l="1"/>
  <c r="E8" i="3" s="1"/>
  <c r="D12" i="3"/>
  <c r="D9" i="3"/>
  <c r="E9" i="3" s="1"/>
  <c r="D13" i="3"/>
  <c r="E13" i="3" s="1"/>
  <c r="D10" i="3"/>
  <c r="E10" i="3" s="1"/>
  <c r="D11" i="3"/>
  <c r="B7" i="3"/>
  <c r="D7" i="3" s="1"/>
  <c r="E12" i="3"/>
  <c r="E11" i="3"/>
  <c r="E7" i="3" l="1"/>
  <c r="C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<sst xmlns="http://schemas.openxmlformats.org/spreadsheetml/2006/main" count="149" uniqueCount="90">
  <si>
    <t>Inventory Value</t>
  </si>
  <si>
    <t>Current Date</t>
  </si>
  <si>
    <t>Unique Products</t>
  </si>
  <si>
    <t>Day of Week</t>
  </si>
  <si>
    <t>Product ID</t>
  </si>
  <si>
    <t>Product</t>
  </si>
  <si>
    <t>Quantity in 
Stock</t>
  </si>
  <si>
    <t>Cost Price per 
Unit</t>
  </si>
  <si>
    <t>Sale Price 
per Unit</t>
  </si>
  <si>
    <t>Total Value</t>
  </si>
  <si>
    <t>Reorder
Threshold</t>
  </si>
  <si>
    <t>Reorder?</t>
  </si>
  <si>
    <t>ETA</t>
  </si>
  <si>
    <t>ID</t>
  </si>
  <si>
    <t>Website</t>
  </si>
  <si>
    <t>Thriller</t>
  </si>
  <si>
    <t>Link</t>
  </si>
  <si>
    <t>Mystery</t>
  </si>
  <si>
    <t>Sci-Fi</t>
  </si>
  <si>
    <t>Travel</t>
  </si>
  <si>
    <t>History</t>
  </si>
  <si>
    <t>Fantasy</t>
  </si>
  <si>
    <t>Horror</t>
  </si>
  <si>
    <t>Drama</t>
  </si>
  <si>
    <t>Dystopian</t>
  </si>
  <si>
    <t>Action</t>
  </si>
  <si>
    <t>Arya Janne</t>
  </si>
  <si>
    <t>Romance</t>
  </si>
  <si>
    <t>Urban</t>
  </si>
  <si>
    <t>Shattered Sky</t>
  </si>
  <si>
    <t>Total Order</t>
  </si>
  <si>
    <t>Total Cost</t>
  </si>
  <si>
    <t>Contact</t>
  </si>
  <si>
    <t>Email</t>
  </si>
  <si>
    <t>Rhea Coleman</t>
  </si>
  <si>
    <t>Revision_Rounds</t>
  </si>
  <si>
    <t>Aisha Bello</t>
  </si>
  <si>
    <t>aisha.bello@growthline.io</t>
  </si>
  <si>
    <t>Daniel Okafor</t>
  </si>
  <si>
    <t>daniel.okafor@copperquill.co</t>
  </si>
  <si>
    <t>rhea.coleman@echorank.io</t>
  </si>
  <si>
    <t>Lucia Moreno</t>
  </si>
  <si>
    <t>lucia.moreno@wanderleaf.co</t>
  </si>
  <si>
    <t>Ethan Cole</t>
  </si>
  <si>
    <t>ethan.cole@novasignal.io</t>
  </si>
  <si>
    <t>Moonlit Digital</t>
  </si>
  <si>
    <t>arya.janne@moonlitdigital.co</t>
  </si>
  <si>
    <t>Phoenix Growth</t>
  </si>
  <si>
    <t>Miriam Lawson</t>
  </si>
  <si>
    <t>miriam.lawson@phoenixgrowth.io</t>
  </si>
  <si>
    <t>Shadow Metrics</t>
  </si>
  <si>
    <t>Ken Morris</t>
  </si>
  <si>
    <t>ken.morris@shadowmetrics.io</t>
  </si>
  <si>
    <t>Jim Calder</t>
  </si>
  <si>
    <t>jim.calder@nexuscontent.io</t>
  </si>
  <si>
    <t>Veilbound Digital</t>
  </si>
  <si>
    <t>Jeff Harmon</t>
  </si>
  <si>
    <t>jeff.harmon@veilbound.co</t>
  </si>
  <si>
    <t>Shattered Sky Media</t>
  </si>
  <si>
    <t>jim.calder@shatteredsky.io</t>
  </si>
  <si>
    <t>Product_Name</t>
  </si>
  <si>
    <t>Product_Type</t>
  </si>
  <si>
    <t>Supplier</t>
  </si>
  <si>
    <t>Average_Order_Time</t>
  </si>
  <si>
    <t>Reorder_Quantity</t>
  </si>
  <si>
    <t>Luminous Drift</t>
  </si>
  <si>
    <t>Starlight Media</t>
  </si>
  <si>
    <t>Silent Horizon</t>
  </si>
  <si>
    <t>Ironclad Marketing</t>
  </si>
  <si>
    <t>Skyforge</t>
  </si>
  <si>
    <t>EchoWave Digital</t>
  </si>
  <si>
    <t>Wanderbeam</t>
  </si>
  <si>
    <t>Silverleaf Creative</t>
  </si>
  <si>
    <t>Lost Echo</t>
  </si>
  <si>
    <t>Silver Mirage</t>
  </si>
  <si>
    <t>Nightfall</t>
  </si>
  <si>
    <t>Deep Hollow</t>
  </si>
  <si>
    <t>Brokerage</t>
  </si>
  <si>
    <t>Frostline</t>
  </si>
  <si>
    <t>Tidal Wave</t>
  </si>
  <si>
    <t>Crimson Dawn</t>
  </si>
  <si>
    <t>Void Runner</t>
  </si>
  <si>
    <t>Hidden Realm</t>
  </si>
  <si>
    <t>Blackthorn</t>
  </si>
  <si>
    <t>Echofall</t>
  </si>
  <si>
    <t>Nexus Prime</t>
  </si>
  <si>
    <t>Nexus Content</t>
  </si>
  <si>
    <t>Moonveil</t>
  </si>
  <si>
    <t>Shadowgrid</t>
  </si>
  <si>
    <t>Contact_Name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</si>
</sst>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#"/>
    <numFmt numFmtId="166" formatCode="dd/mm/yyyy;@"/>
  </numFmts>
  <fonts count="9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Aptos Narrow"/>
      <family val="2"/>
    </font>
    <font>
      <b/>
      <sz val="12"/>
      <color rgb="FF000000"/>
      <name val="Aptos Narrow"/>
    </font>
    <font>
      <b/>
      <sz val="12"/>
      <color rgb="FFFFFFFF"/>
      <name val="Aptos Narrow"/>
      <family val="2"/>
    </font>
    <font>
      <u/>
      <sz val="11"/>
      <color theme="10"/>
      <name val="Calibri"/>
      <family val="2"/>
      <scheme val="minor"/>
    </font>
    <font>
      <b/>
      <sz val="16"/>
      <color rgb="FF073673"/>
      <name val="Aptos Narrow"/>
      <family val="2"/>
    </font>
    <font>
      <b/>
      <sz val="12"/>
      <color rgb="FFFFFFFF"/>
      <name val="Aptos Narrow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3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0" fontId="6" fillId="0" borderId="2" xfId="0" applyFont="1" applyBorder="1"/>
    <xf numFmtId="0" fontId="2" fillId="0" borderId="2" xfId="0" applyFont="1" applyBorder="1"/>
    <xf numFmtId="4" fontId="3" fillId="2" borderId="1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/>
    <xf numFmtId="0" fontId="0" fillId="4" borderId="0" xfId="0" applyFill="1"/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0" fillId="6" borderId="0" xfId="0" applyFill="1"/>
    <xf numFmtId="0" fontId="7" fillId="7" borderId="0" xfId="0" applyFont="1" applyFill="1" applyAlignment="1">
      <alignment horizontal="center"/>
    </xf>
    <xf numFmtId="0" fontId="0" fillId="8" borderId="0" xfId="0" applyFill="1"/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8" fillId="0" borderId="0" xfId="1" applyFont="1" applyFill="1" applyBorder="1"/>
    <xf numFmtId="0" fontId="8" fillId="0" borderId="0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7">
    <dxf>
      <font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numFmt numFmtId="165" formatCode="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none"/>
      </font>
      <fill>
        <patternFill patternType="solid">
          <fgColor rgb="FF000000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056C23A2-E1C5-49CE-8454-014686D08A7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Vendor Info'!A1"/><Relationship Id="rId2" Type="http://schemas.openxmlformats.org/officeDocument/2006/relationships/hyperlink" Target="#'Inventory sheet'!A1"/><Relationship Id="rId1" Type="http://schemas.openxmlformats.org/officeDocument/2006/relationships/image" Target="../media/image1.png"/><Relationship Id="rId4" Type="http://schemas.openxmlformats.org/officeDocument/2006/relationships/hyperlink" Target="#'Order summary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Vendor Info'!A1"/><Relationship Id="rId2" Type="http://schemas.openxmlformats.org/officeDocument/2006/relationships/hyperlink" Target="#'Inventory sheet'!A1"/><Relationship Id="rId1" Type="http://schemas.openxmlformats.org/officeDocument/2006/relationships/image" Target="../media/image2.png"/><Relationship Id="rId4" Type="http://schemas.openxmlformats.org/officeDocument/2006/relationships/hyperlink" Target="#'Order summary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Vendor Info'!A1"/><Relationship Id="rId2" Type="http://schemas.openxmlformats.org/officeDocument/2006/relationships/hyperlink" Target="#'Inventory sheet'!A1"/><Relationship Id="rId1" Type="http://schemas.openxmlformats.org/officeDocument/2006/relationships/image" Target="../media/image3.png"/><Relationship Id="rId4" Type="http://schemas.openxmlformats.org/officeDocument/2006/relationships/hyperlink" Target="#'Order summary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207067</xdr:colOff>
      <xdr:row>1</xdr:row>
      <xdr:rowOff>57978</xdr:rowOff>
    </xdr:from>
    <xdr:to>
      <xdr:col>0</xdr:col>
      <xdr:colOff>707631</xdr:colOff>
      <xdr:row>2</xdr:row>
      <xdr:rowOff>21167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74C2A-D288-4D7C-904C-E59B3A154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067" y="248478"/>
          <a:ext cx="500564" cy="1536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</xdr:row>
      <xdr:rowOff>47625</xdr:rowOff>
    </xdr:from>
    <xdr:to>
      <xdr:col>0</xdr:col>
      <xdr:colOff>1619250</xdr:colOff>
      <xdr:row>5</xdr:row>
      <xdr:rowOff>123825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FF20B0-79D6-431E-8931-544AE8031584}"/>
            </a:ext>
          </a:extLst>
        </xdr:cNvPr>
        <xdr:cNvSpPr/>
      </xdr:nvSpPr>
      <xdr:spPr>
        <a:xfrm>
          <a:off x="9525" y="904875"/>
          <a:ext cx="16097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Inventory</a:t>
          </a:r>
        </a:p>
      </xdr:txBody>
    </xdr:sp>
    <xdr:clientData/>
  </xdr:twoCellAnchor>
  <xdr:twoCellAnchor>
    <xdr:from>
      <xdr:col>0</xdr:col>
      <xdr:colOff>0</xdr:colOff>
      <xdr:row>8</xdr:row>
      <xdr:rowOff>133350</xdr:rowOff>
    </xdr:from>
    <xdr:to>
      <xdr:col>0</xdr:col>
      <xdr:colOff>1609725</xdr:colOff>
      <xdr:row>10</xdr:row>
      <xdr:rowOff>9525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BF90D7-0BD9-40C9-8DA7-8D4180590AC5}"/>
            </a:ext>
          </a:extLst>
        </xdr:cNvPr>
        <xdr:cNvSpPr/>
      </xdr:nvSpPr>
      <xdr:spPr>
        <a:xfrm>
          <a:off x="0" y="1790700"/>
          <a:ext cx="16097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Vendor Info</a:t>
          </a:r>
        </a:p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13</xdr:row>
      <xdr:rowOff>0</xdr:rowOff>
    </xdr:from>
    <xdr:to>
      <xdr:col>0</xdr:col>
      <xdr:colOff>1619250</xdr:colOff>
      <xdr:row>14</xdr:row>
      <xdr:rowOff>76200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54890C-4CE0-4318-83ED-05F4C5DCE8F4}"/>
            </a:ext>
          </a:extLst>
        </xdr:cNvPr>
        <xdr:cNvSpPr/>
      </xdr:nvSpPr>
      <xdr:spPr>
        <a:xfrm>
          <a:off x="9525" y="2657475"/>
          <a:ext cx="16097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Order Summary</a:t>
          </a:r>
        </a:p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207066</xdr:colOff>
      <xdr:row>1</xdr:row>
      <xdr:rowOff>57978</xdr:rowOff>
    </xdr:from>
    <xdr:to>
      <xdr:col>0</xdr:col>
      <xdr:colOff>1180116</xdr:colOff>
      <xdr:row>2</xdr:row>
      <xdr:rowOff>140805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99C92EB-AAEA-4D10-AE23-64209D817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066" y="248478"/>
          <a:ext cx="973050" cy="34000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</xdr:row>
      <xdr:rowOff>47625</xdr:rowOff>
    </xdr:from>
    <xdr:to>
      <xdr:col>0</xdr:col>
      <xdr:colOff>1619250</xdr:colOff>
      <xdr:row>5</xdr:row>
      <xdr:rowOff>123825</xdr:rowOff>
    </xdr:to>
    <xdr:sp macro="" textlink="">
      <xdr:nvSpPr>
        <xdr:cNvPr id="34" name="Rectangle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6CD1EB-E389-4421-91FE-FC158432C342}"/>
            </a:ext>
          </a:extLst>
        </xdr:cNvPr>
        <xdr:cNvSpPr/>
      </xdr:nvSpPr>
      <xdr:spPr>
        <a:xfrm>
          <a:off x="9525" y="904875"/>
          <a:ext cx="16097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Inventory</a:t>
          </a:r>
        </a:p>
      </xdr:txBody>
    </xdr:sp>
    <xdr:clientData/>
  </xdr:twoCellAnchor>
  <xdr:twoCellAnchor>
    <xdr:from>
      <xdr:col>0</xdr:col>
      <xdr:colOff>0</xdr:colOff>
      <xdr:row>8</xdr:row>
      <xdr:rowOff>133350</xdr:rowOff>
    </xdr:from>
    <xdr:to>
      <xdr:col>0</xdr:col>
      <xdr:colOff>1609725</xdr:colOff>
      <xdr:row>10</xdr:row>
      <xdr:rowOff>9525</xdr:rowOff>
    </xdr:to>
    <xdr:sp macro="" textlink="">
      <xdr:nvSpPr>
        <xdr:cNvPr id="35" name="Rectangle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4527BA-1E25-42A9-810F-248C88623F1A}"/>
            </a:ext>
          </a:extLst>
        </xdr:cNvPr>
        <xdr:cNvSpPr/>
      </xdr:nvSpPr>
      <xdr:spPr>
        <a:xfrm>
          <a:off x="0" y="1790700"/>
          <a:ext cx="16097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Vendor Info</a:t>
          </a:r>
        </a:p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13</xdr:row>
      <xdr:rowOff>0</xdr:rowOff>
    </xdr:from>
    <xdr:to>
      <xdr:col>0</xdr:col>
      <xdr:colOff>1619250</xdr:colOff>
      <xdr:row>14</xdr:row>
      <xdr:rowOff>76200</xdr:rowOff>
    </xdr:to>
    <xdr:sp macro="" textlink="">
      <xdr:nvSpPr>
        <xdr:cNvPr id="37" name="Rectangle 3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AFB657-B850-406C-8A6B-758B3323BFB5}"/>
            </a:ext>
          </a:extLst>
        </xdr:cNvPr>
        <xdr:cNvSpPr/>
      </xdr:nvSpPr>
      <xdr:spPr>
        <a:xfrm>
          <a:off x="9525" y="2657475"/>
          <a:ext cx="16097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Order Summary</a:t>
          </a:r>
        </a:p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245168</xdr:colOff>
      <xdr:row>0</xdr:row>
      <xdr:rowOff>143703</xdr:rowOff>
    </xdr:from>
    <xdr:to>
      <xdr:col>0</xdr:col>
      <xdr:colOff>1400175</xdr:colOff>
      <xdr:row>2</xdr:row>
      <xdr:rowOff>52143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978551-2858-43EC-A560-7F05472A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168" y="143703"/>
          <a:ext cx="1155007" cy="28944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</xdr:row>
      <xdr:rowOff>47625</xdr:rowOff>
    </xdr:from>
    <xdr:to>
      <xdr:col>0</xdr:col>
      <xdr:colOff>1619250</xdr:colOff>
      <xdr:row>5</xdr:row>
      <xdr:rowOff>123825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4F6EDF-C031-483C-B130-974A70B4BABE}"/>
            </a:ext>
          </a:extLst>
        </xdr:cNvPr>
        <xdr:cNvSpPr/>
      </xdr:nvSpPr>
      <xdr:spPr>
        <a:xfrm>
          <a:off x="9525" y="819150"/>
          <a:ext cx="16097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Inventory</a:t>
          </a:r>
        </a:p>
      </xdr:txBody>
    </xdr:sp>
    <xdr:clientData/>
  </xdr:twoCellAnchor>
  <xdr:twoCellAnchor>
    <xdr:from>
      <xdr:col>0</xdr:col>
      <xdr:colOff>0</xdr:colOff>
      <xdr:row>8</xdr:row>
      <xdr:rowOff>133350</xdr:rowOff>
    </xdr:from>
    <xdr:to>
      <xdr:col>0</xdr:col>
      <xdr:colOff>1609725</xdr:colOff>
      <xdr:row>10</xdr:row>
      <xdr:rowOff>9525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805C16-5A02-4B59-ACB0-522FA7DBACCB}"/>
            </a:ext>
          </a:extLst>
        </xdr:cNvPr>
        <xdr:cNvSpPr/>
      </xdr:nvSpPr>
      <xdr:spPr>
        <a:xfrm>
          <a:off x="0" y="2305050"/>
          <a:ext cx="16097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Vendor Info</a:t>
          </a:r>
        </a:p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13</xdr:row>
      <xdr:rowOff>0</xdr:rowOff>
    </xdr:from>
    <xdr:to>
      <xdr:col>0</xdr:col>
      <xdr:colOff>1619250</xdr:colOff>
      <xdr:row>14</xdr:row>
      <xdr:rowOff>76200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945349-6692-468A-BD11-6E287CDBC3ED}"/>
            </a:ext>
          </a:extLst>
        </xdr:cNvPr>
        <xdr:cNvSpPr/>
      </xdr:nvSpPr>
      <xdr:spPr>
        <a:xfrm>
          <a:off x="9525" y="3171825"/>
          <a:ext cx="16097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Order Summary</a:t>
          </a:r>
        </a:p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453F8B-9DBF-44F4-AA09-430B58665FC1}" name="Table2" displayName="Table2" ref="B7:J21" totalsRowShown="0" headerRowDxfId="16" dataDxfId="15">
  <autoFilter ref="B7:J21" xr:uid="{B1453F8B-9DBF-44F4-AA09-430B58665FC1}"/>
  <tableColumns count="9">
    <tableColumn id="1" xr3:uid="{4465D185-987B-464E-9D64-46E77D8673E3}" name="Product ID" dataDxfId="14"/>
    <tableColumn id="2" xr3:uid="{71DDA9F0-4197-42CC-BB90-0C267B62E661}" name="Product" dataDxfId="13">
      <calculatedColumnFormula>_xlfn.XLOOKUP(Table2[[#This Row],[Product ID]],Table1[ID],Table1[Product_Name])</calculatedColumnFormula>
    </tableColumn>
    <tableColumn id="3" xr3:uid="{745FD2C4-553F-4685-91C9-6C2D2D66A671}" name="Quantity in _x000a_Stock" dataDxfId="12"/>
    <tableColumn id="4" xr3:uid="{5811845E-5E15-4716-A819-F46D2F5F7BA0}" name="Cost Price per _x000a_Unit" dataDxfId="11"/>
    <tableColumn id="5" xr3:uid="{40C42C9F-D679-4DDD-9EFD-214E8B8C15F1}" name="Sale Price _x000a_per Unit" dataDxfId="10">
      <calculatedColumnFormula>E8*3</calculatedColumnFormula>
    </tableColumn>
    <tableColumn id="6" xr3:uid="{B0D29F93-4F66-44CD-ADA0-9E6AAA184AB2}" name="Total Value" dataDxfId="9">
      <calculatedColumnFormula>Table2[[#This Row],[Sale Price 
per Unit]]*Table2[[#This Row],[Quantity in 
Stock]]</calculatedColumnFormula>
    </tableColumn>
    <tableColumn id="7" xr3:uid="{E0DACE38-0432-411C-84C5-29D6F07A6EBF}" name="Reorder_x000a_Threshold" dataDxfId="8"/>
    <tableColumn id="8" xr3:uid="{325A1D17-82FB-4052-99C7-BBB5BB7B8109}" name="Reorder?" dataDxfId="7">
      <calculatedColumnFormula>IF(Table2[[#This Row],[Quantity in 
Stock]]&gt;=Table2[[#This Row],[Reorder
Threshold]],"Yes","No")</calculatedColumnFormula>
    </tableColumn>
    <tableColumn id="9" xr3:uid="{6C93DCA3-7F82-445D-A1EE-B1F97D2496F6}" name="ETA" dataDxfId="6">
      <calculatedColumnFormula>IF(Table2[[#This Row],[Reorder?]]="Yes",$F$4+_xlfn.XLOOKUP(Table2[[#This Row],[Product ID]],Table1[ID],Table1[Average_Order_Time]),"")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3C3D8A-D2D2-4B60-A6ED-D68F64136FB1}" name="Table1" displayName="Table1" ref="B4:J24" totalsRowShown="0" headerRowDxfId="5">
  <autoFilter ref="B4:J24" xr:uid="{443C3D8A-D2D2-4B60-A6ED-D68F64136FB1}"/>
  <tableColumns count="9">
    <tableColumn id="1" xr3:uid="{0F73AD37-3699-4582-8C87-B99B72D0BED9}" name="ID" dataDxfId="4">
      <calculatedColumnFormula>B4+1</calculatedColumnFormula>
    </tableColumn>
    <tableColumn id="2" xr3:uid="{4587B8F8-3356-4D97-9456-14BB21B65689}" name="Product_Name"/>
    <tableColumn id="3" xr3:uid="{31F04A2D-21FD-46FA-A8CD-E7E1A2459438}" name="Product_Type"/>
    <tableColumn id="4" xr3:uid="{E39F2B0D-34E5-42F4-B993-DD9C1FF16335}" name="Supplier"/>
    <tableColumn id="5" xr3:uid="{5C123F11-F5F9-41A1-BD18-F57CBB5A3544}" name="Average_Order_Time" dataDxfId="3"/>
    <tableColumn id="6" xr3:uid="{3F825939-C95B-407B-B9A0-62684268768F}" name="Reorder_Quantity" dataDxfId="2"/>
    <tableColumn id="7" xr3:uid="{1C4EB171-5012-4618-9829-8237FCD72C97}" name="Contact_Name"/>
    <tableColumn id="8" xr3:uid="{E11A8F97-0C78-4C28-AE7C-3DAC65ED29A0}" name="Email" dataDxfId="1" dataCellStyle="Hyperlink"/>
    <tableColumn id="9" xr3:uid="{C975E48C-48F6-4DDA-A797-991D7765775C}" name="Website" dataDxfId="0" dataCellStyle="Hyperlink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A4DB-0F4C-4857-8349-F2715B0127D4}">
  <dimension ref="A4:J21"/>
  <sheetViews>
    <sheetView topLeftCell="A4" zoomScale="90" zoomScaleNormal="90" workbookViewId="0">
      <selection activeCell="A3" sqref="A3"/>
    </sheetView>
  </sheetViews>
  <sheetFormatPr defaultRowHeight="15"/>
  <cols>
    <col min="1" max="1" width="24.42578125" style="17" customWidth="1"/>
    <col min="2" max="2" width="18" bestFit="1" customWidth="1"/>
    <col min="3" max="3" width="16.28515625" bestFit="1" customWidth="1"/>
    <col min="4" max="4" width="9.140625" customWidth="1"/>
    <col min="5" max="5" width="14.28515625" bestFit="1" customWidth="1"/>
    <col min="6" max="6" width="16.28515625" bestFit="1" customWidth="1"/>
    <col min="7" max="7" width="18.140625" bestFit="1" customWidth="1"/>
    <col min="8" max="8" width="14.28515625" bestFit="1" customWidth="1"/>
    <col min="9" max="9" width="16.140625" bestFit="1" customWidth="1"/>
    <col min="10" max="10" width="18.140625" bestFit="1" customWidth="1"/>
  </cols>
  <sheetData>
    <row r="4" spans="2:10" ht="15.75">
      <c r="B4" s="4" t="s">
        <v>0</v>
      </c>
      <c r="C4" s="5">
        <f>SUM(Table2[Total Value])</f>
        <v>7124.0948496704614</v>
      </c>
      <c r="D4" s="4"/>
      <c r="E4" s="4" t="s">
        <v>1</v>
      </c>
      <c r="F4" s="6">
        <f ca="1">TODAY()</f>
        <v>46021</v>
      </c>
      <c r="G4" s="4"/>
      <c r="H4" s="4"/>
      <c r="I4" s="4"/>
      <c r="J4" s="4"/>
    </row>
    <row r="5" spans="2:10" ht="15.75">
      <c r="B5" s="4" t="s">
        <v>2</v>
      </c>
      <c r="C5" s="5">
        <f>COUNT(_xlfn.UNIQUE(Table2[Product ID]))</f>
        <v>14</v>
      </c>
      <c r="D5" s="4"/>
      <c r="E5" s="4" t="s">
        <v>3</v>
      </c>
      <c r="F5" s="5" t="str">
        <f ca="1">TEXT(F4,"dddd")</f>
        <v>Tuesday</v>
      </c>
      <c r="G5" s="4"/>
      <c r="H5" s="4"/>
      <c r="I5" s="4"/>
      <c r="J5" s="4"/>
    </row>
    <row r="6" spans="2:10" ht="15.75">
      <c r="B6" s="4"/>
      <c r="C6" s="4"/>
      <c r="D6" s="4"/>
      <c r="E6" s="4"/>
      <c r="F6" s="4"/>
      <c r="G6" s="4"/>
      <c r="H6" s="4"/>
      <c r="I6" s="4"/>
      <c r="J6" s="4"/>
    </row>
    <row r="7" spans="2:10" s="17" customFormat="1" ht="47.25">
      <c r="B7" s="18" t="s">
        <v>4</v>
      </c>
      <c r="C7" s="18" t="s">
        <v>5</v>
      </c>
      <c r="D7" s="19" t="s">
        <v>6</v>
      </c>
      <c r="E7" s="19" t="s">
        <v>7</v>
      </c>
      <c r="F7" s="19" t="s">
        <v>8</v>
      </c>
      <c r="G7" s="18" t="s">
        <v>9</v>
      </c>
      <c r="H7" s="19" t="s">
        <v>10</v>
      </c>
      <c r="I7" s="18" t="s">
        <v>11</v>
      </c>
      <c r="J7" s="18" t="s">
        <v>12</v>
      </c>
    </row>
    <row r="8" spans="2:10" ht="15.75">
      <c r="B8" s="7">
        <v>101</v>
      </c>
      <c r="C8" s="7" t="str">
        <f>_xlfn.XLOOKUP(Table2[[#This Row],[Product ID]],Table1[ID],Table1[Product_Name])</f>
        <v>Luminous Drift</v>
      </c>
      <c r="D8" s="7">
        <v>5</v>
      </c>
      <c r="E8" s="8">
        <v>6.5357631098462861</v>
      </c>
      <c r="F8" s="8">
        <f>E8*3</f>
        <v>19.607289329538858</v>
      </c>
      <c r="G8" s="8">
        <f>Table2[[#This Row],[Sale Price 
per Unit]]*Table2[[#This Row],[Quantity in 
Stock]]</f>
        <v>98.036446647694291</v>
      </c>
      <c r="H8" s="7">
        <v>9</v>
      </c>
      <c r="I8" s="7" t="str">
        <f>IF(Table2[[#This Row],[Quantity in 
Stock]]&gt;=Table2[[#This Row],[Reorder
Threshold]],"Yes","No")</f>
        <v>No</v>
      </c>
      <c r="J8" s="9" t="str">
        <f>IF(Table2[[#This Row],[Reorder?]]="Yes",$F$4+_xlfn.XLOOKUP(Table2[[#This Row],[Product ID]],Table1[ID],Table1[Average_Order_Time]),"")</f>
        <v/>
      </c>
    </row>
    <row r="9" spans="2:10" ht="15.75">
      <c r="B9" s="7">
        <v>102</v>
      </c>
      <c r="C9" s="7" t="str">
        <f>_xlfn.XLOOKUP(Table2[[#This Row],[Product ID]],Table1[ID],Table1[Product_Name])</f>
        <v>Silent Horizon</v>
      </c>
      <c r="D9" s="7">
        <v>14</v>
      </c>
      <c r="E9" s="8">
        <v>8.1162716224706184</v>
      </c>
      <c r="F9" s="8">
        <f t="shared" ref="F9:F20" si="0">E9*3</f>
        <v>24.348814867411853</v>
      </c>
      <c r="G9" s="8">
        <f>Table2[[#This Row],[Sale Price 
per Unit]]*Table2[[#This Row],[Quantity in 
Stock]]</f>
        <v>340.88340814376596</v>
      </c>
      <c r="H9" s="7">
        <v>6</v>
      </c>
      <c r="I9" s="7" t="str">
        <f>IF(Table2[[#This Row],[Quantity in 
Stock]]&gt;=Table2[[#This Row],[Reorder
Threshold]],"Yes","No")</f>
        <v>Yes</v>
      </c>
      <c r="J9" s="11">
        <f ca="1">IF(Table2[[#This Row],[Reorder?]]="Yes",$F$4+_xlfn.XLOOKUP(Table2[[#This Row],[Product ID]],Table1[ID],Table1[Average_Order_Time]),"")</f>
        <v>46033</v>
      </c>
    </row>
    <row r="10" spans="2:10" ht="15.75">
      <c r="B10" s="7">
        <v>103</v>
      </c>
      <c r="C10" s="7" t="str">
        <f>_xlfn.XLOOKUP(Table2[[#This Row],[Product ID]],Table1[ID],Table1[Product_Name])</f>
        <v>Skyforge</v>
      </c>
      <c r="D10" s="7">
        <v>7</v>
      </c>
      <c r="E10" s="8">
        <v>9.6615053146280214</v>
      </c>
      <c r="F10" s="8">
        <f t="shared" si="0"/>
        <v>28.984515943884062</v>
      </c>
      <c r="G10" s="8">
        <f>Table2[[#This Row],[Sale Price 
per Unit]]*Table2[[#This Row],[Quantity in 
Stock]]</f>
        <v>202.89161160718845</v>
      </c>
      <c r="H10" s="7">
        <v>17</v>
      </c>
      <c r="I10" s="7" t="str">
        <f>IF(Table2[[#This Row],[Quantity in 
Stock]]&gt;=Table2[[#This Row],[Reorder
Threshold]],"Yes","No")</f>
        <v>No</v>
      </c>
      <c r="J10" s="11" t="str">
        <f>IF(Table2[[#This Row],[Reorder?]]="Yes",$F$4+_xlfn.XLOOKUP(Table2[[#This Row],[Product ID]],Table1[ID],Table1[Average_Order_Time]),"")</f>
        <v/>
      </c>
    </row>
    <row r="11" spans="2:10" ht="15.75">
      <c r="B11" s="7">
        <v>104</v>
      </c>
      <c r="C11" s="7" t="str">
        <f>_xlfn.XLOOKUP(Table2[[#This Row],[Product ID]],Table1[ID],Table1[Product_Name])</f>
        <v>Wanderbeam</v>
      </c>
      <c r="D11" s="7">
        <v>220</v>
      </c>
      <c r="E11" s="8">
        <v>7.1428555517562238</v>
      </c>
      <c r="F11" s="8">
        <f t="shared" si="0"/>
        <v>21.428566655268671</v>
      </c>
      <c r="G11" s="8">
        <f>Table2[[#This Row],[Sale Price 
per Unit]]*Table2[[#This Row],[Quantity in 
Stock]]</f>
        <v>4714.2846641591077</v>
      </c>
      <c r="H11" s="7">
        <v>10</v>
      </c>
      <c r="I11" s="7" t="str">
        <f>IF(Table2[[#This Row],[Quantity in 
Stock]]&gt;=Table2[[#This Row],[Reorder
Threshold]],"Yes","No")</f>
        <v>Yes</v>
      </c>
      <c r="J11" s="11">
        <f ca="1">IF(Table2[[#This Row],[Reorder?]]="Yes",$F$4+_xlfn.XLOOKUP(Table2[[#This Row],[Product ID]],Table1[ID],Table1[Average_Order_Time]),"")</f>
        <v>46030</v>
      </c>
    </row>
    <row r="12" spans="2:10" ht="15.75">
      <c r="B12" s="7">
        <v>105</v>
      </c>
      <c r="C12" s="7" t="str">
        <f>_xlfn.XLOOKUP(Table2[[#This Row],[Product ID]],Table1[ID],Table1[Product_Name])</f>
        <v>Lost Echo</v>
      </c>
      <c r="D12" s="7">
        <v>7</v>
      </c>
      <c r="E12" s="8">
        <v>3.7669670588735187</v>
      </c>
      <c r="F12" s="8">
        <f>E12*3</f>
        <v>11.300901176620556</v>
      </c>
      <c r="G12" s="8">
        <f>Table2[[#This Row],[Sale Price 
per Unit]]*Table2[[#This Row],[Quantity in 
Stock]]</f>
        <v>79.106308236343892</v>
      </c>
      <c r="H12" s="7">
        <v>3</v>
      </c>
      <c r="I12" s="7" t="str">
        <f>IF(Table2[[#This Row],[Quantity in 
Stock]]&gt;=Table2[[#This Row],[Reorder
Threshold]],"Yes","No")</f>
        <v>Yes</v>
      </c>
      <c r="J12" s="11">
        <f ca="1">IF(Table2[[#This Row],[Reorder?]]="Yes",$F$4+_xlfn.XLOOKUP(Table2[[#This Row],[Product ID]],Table1[ID],Table1[Average_Order_Time]),"")</f>
        <v>46028</v>
      </c>
    </row>
    <row r="13" spans="2:10" ht="15.75">
      <c r="B13" s="7">
        <v>106</v>
      </c>
      <c r="C13" s="7" t="str">
        <f>_xlfn.XLOOKUP(Table2[[#This Row],[Product ID]],Table1[ID],Table1[Product_Name])</f>
        <v>Silver Mirage</v>
      </c>
      <c r="D13" s="7">
        <v>16</v>
      </c>
      <c r="E13" s="8">
        <v>7.5821485560321005</v>
      </c>
      <c r="F13" s="8">
        <f t="shared" si="0"/>
        <v>22.7464456680963</v>
      </c>
      <c r="G13" s="8">
        <f>Table2[[#This Row],[Sale Price 
per Unit]]*Table2[[#This Row],[Quantity in 
Stock]]</f>
        <v>363.94313068954079</v>
      </c>
      <c r="H13" s="7">
        <v>19</v>
      </c>
      <c r="I13" s="7" t="str">
        <f>IF(Table2[[#This Row],[Quantity in 
Stock]]&gt;=Table2[[#This Row],[Reorder
Threshold]],"Yes","No")</f>
        <v>No</v>
      </c>
      <c r="J13" s="11" t="str">
        <f>IF(Table2[[#This Row],[Reorder?]]="Yes",$F$4+_xlfn.XLOOKUP(Table2[[#This Row],[Product ID]],Table1[ID],Table1[Average_Order_Time]),"")</f>
        <v/>
      </c>
    </row>
    <row r="14" spans="2:10" ht="15.75">
      <c r="B14" s="7">
        <v>108</v>
      </c>
      <c r="C14" s="7" t="str">
        <f>_xlfn.XLOOKUP(Table2[[#This Row],[Product ID]],Table1[ID],Table1[Product_Name])</f>
        <v>Deep Hollow</v>
      </c>
      <c r="D14" s="7">
        <v>21</v>
      </c>
      <c r="E14" s="8">
        <v>7.3073497384215322</v>
      </c>
      <c r="F14" s="8">
        <f t="shared" si="0"/>
        <v>21.922049215264597</v>
      </c>
      <c r="G14" s="8">
        <f>Table2[[#This Row],[Sale Price 
per Unit]]*Table2[[#This Row],[Quantity in 
Stock]]</f>
        <v>460.36303352055654</v>
      </c>
      <c r="H14" s="7">
        <v>8</v>
      </c>
      <c r="I14" s="7" t="str">
        <f>IF(Table2[[#This Row],[Quantity in 
Stock]]&gt;=Table2[[#This Row],[Reorder
Threshold]],"Yes","No")</f>
        <v>Yes</v>
      </c>
      <c r="J14" s="11">
        <f ca="1">IF(Table2[[#This Row],[Reorder?]]="Yes",$F$4+_xlfn.XLOOKUP(Table2[[#This Row],[Product ID]],Table1[ID],Table1[Average_Order_Time]),"")</f>
        <v>46051</v>
      </c>
    </row>
    <row r="15" spans="2:10" ht="15.75">
      <c r="B15" s="7">
        <v>109</v>
      </c>
      <c r="C15" s="7" t="str">
        <f>_xlfn.XLOOKUP(Table2[[#This Row],[Product ID]],Table1[ID],Table1[Product_Name])</f>
        <v>Brokerage</v>
      </c>
      <c r="D15" s="7">
        <v>26</v>
      </c>
      <c r="E15" s="8">
        <v>6.1967947656993907</v>
      </c>
      <c r="F15" s="8">
        <f t="shared" si="0"/>
        <v>18.590384297098172</v>
      </c>
      <c r="G15" s="8">
        <f>Table2[[#This Row],[Sale Price 
per Unit]]*Table2[[#This Row],[Quantity in 
Stock]]</f>
        <v>483.34999172455247</v>
      </c>
      <c r="H15" s="7">
        <v>4</v>
      </c>
      <c r="I15" s="7" t="str">
        <f>IF(Table2[[#This Row],[Quantity in 
Stock]]&gt;=Table2[[#This Row],[Reorder
Threshold]],"Yes","No")</f>
        <v>Yes</v>
      </c>
      <c r="J15" s="11">
        <f ca="1">IF(Table2[[#This Row],[Reorder?]]="Yes",$F$4+_xlfn.XLOOKUP(Table2[[#This Row],[Product ID]],Table1[ID],Table1[Average_Order_Time]),"")</f>
        <v>46051</v>
      </c>
    </row>
    <row r="16" spans="2:10" ht="15.75">
      <c r="B16" s="7">
        <v>110</v>
      </c>
      <c r="C16" s="7" t="str">
        <f>_xlfn.XLOOKUP(Table2[[#This Row],[Product ID]],Table1[ID],Table1[Product_Name])</f>
        <v>Frostline</v>
      </c>
      <c r="D16" s="7">
        <v>5</v>
      </c>
      <c r="E16" s="8">
        <v>1.5677051405247546</v>
      </c>
      <c r="F16" s="8">
        <f t="shared" si="0"/>
        <v>4.7031154215742639</v>
      </c>
      <c r="G16" s="8">
        <f>Table2[[#This Row],[Sale Price 
per Unit]]*Table2[[#This Row],[Quantity in 
Stock]]</f>
        <v>23.515577107871319</v>
      </c>
      <c r="H16" s="7">
        <v>8</v>
      </c>
      <c r="I16" s="7" t="str">
        <f>IF(Table2[[#This Row],[Quantity in 
Stock]]&gt;=Table2[[#This Row],[Reorder
Threshold]],"Yes","No")</f>
        <v>No</v>
      </c>
      <c r="J16" s="11" t="str">
        <f>IF(Table2[[#This Row],[Reorder?]]="Yes",$F$4+_xlfn.XLOOKUP(Table2[[#This Row],[Product ID]],Table1[ID],Table1[Average_Order_Time]),"")</f>
        <v/>
      </c>
    </row>
    <row r="17" spans="2:10" ht="15.75">
      <c r="B17" s="7">
        <v>111</v>
      </c>
      <c r="C17" s="7" t="str">
        <f>_xlfn.XLOOKUP(Table2[[#This Row],[Product ID]],Table1[ID],Table1[Product_Name])</f>
        <v>Tidal Wave</v>
      </c>
      <c r="D17" s="7">
        <v>5</v>
      </c>
      <c r="E17" s="8">
        <v>3.5378489709328811</v>
      </c>
      <c r="F17" s="8">
        <f t="shared" si="0"/>
        <v>10.613546912798643</v>
      </c>
      <c r="G17" s="8">
        <f>Table2[[#This Row],[Sale Price 
per Unit]]*Table2[[#This Row],[Quantity in 
Stock]]</f>
        <v>53.067734563993213</v>
      </c>
      <c r="H17" s="7">
        <v>20</v>
      </c>
      <c r="I17" s="7" t="str">
        <f>IF(Table2[[#This Row],[Quantity in 
Stock]]&gt;=Table2[[#This Row],[Reorder
Threshold]],"Yes","No")</f>
        <v>No</v>
      </c>
      <c r="J17" s="11" t="str">
        <f>IF(Table2[[#This Row],[Reorder?]]="Yes",$F$4+_xlfn.XLOOKUP(Table2[[#This Row],[Product ID]],Table1[ID],Table1[Average_Order_Time]),"")</f>
        <v/>
      </c>
    </row>
    <row r="18" spans="2:10" ht="15.75">
      <c r="B18" s="7">
        <v>112</v>
      </c>
      <c r="C18" s="7" t="str">
        <f>_xlfn.XLOOKUP(Table2[[#This Row],[Product ID]],Table1[ID],Table1[Product_Name])</f>
        <v>Crimson Dawn</v>
      </c>
      <c r="D18" s="7">
        <v>8</v>
      </c>
      <c r="E18" s="8">
        <v>7.9822216400338739</v>
      </c>
      <c r="F18" s="8">
        <f t="shared" si="0"/>
        <v>23.946664920101622</v>
      </c>
      <c r="G18" s="8">
        <f>Table2[[#This Row],[Sale Price 
per Unit]]*Table2[[#This Row],[Quantity in 
Stock]]</f>
        <v>191.57331936081297</v>
      </c>
      <c r="H18" s="7">
        <v>8</v>
      </c>
      <c r="I18" s="7" t="str">
        <f>IF(Table2[[#This Row],[Quantity in 
Stock]]&gt;=Table2[[#This Row],[Reorder
Threshold]],"Yes","No")</f>
        <v>Yes</v>
      </c>
      <c r="J18" s="11">
        <f ca="1">IF(Table2[[#This Row],[Reorder?]]="Yes",$F$4+_xlfn.XLOOKUP(Table2[[#This Row],[Product ID]],Table1[ID],Table1[Average_Order_Time]),"")</f>
        <v>46081</v>
      </c>
    </row>
    <row r="19" spans="2:10" ht="15.75">
      <c r="B19" s="7">
        <v>113</v>
      </c>
      <c r="C19" s="7" t="str">
        <f>_xlfn.XLOOKUP(Table2[[#This Row],[Product ID]],Table1[ID],Table1[Product_Name])</f>
        <v>Shattered Sky</v>
      </c>
      <c r="D19" s="7">
        <v>8</v>
      </c>
      <c r="E19" s="8">
        <v>2.1895287319506238</v>
      </c>
      <c r="F19" s="8">
        <f t="shared" si="0"/>
        <v>6.5685861958518714</v>
      </c>
      <c r="G19" s="8">
        <f>Table2[[#This Row],[Sale Price 
per Unit]]*Table2[[#This Row],[Quantity in 
Stock]]</f>
        <v>52.548689566814971</v>
      </c>
      <c r="H19" s="7">
        <v>27</v>
      </c>
      <c r="I19" s="7" t="str">
        <f>IF(Table2[[#This Row],[Quantity in 
Stock]]&gt;=Table2[[#This Row],[Reorder
Threshold]],"Yes","No")</f>
        <v>No</v>
      </c>
      <c r="J19" s="11" t="str">
        <f>IF(Table2[[#This Row],[Reorder?]]="Yes",$F$4+_xlfn.XLOOKUP(Table2[[#This Row],[Product ID]],Table1[ID],Table1[Average_Order_Time]),"")</f>
        <v/>
      </c>
    </row>
    <row r="20" spans="2:10" ht="15.75">
      <c r="B20" s="7">
        <v>116</v>
      </c>
      <c r="C20" s="7" t="str">
        <f>_xlfn.XLOOKUP(Table2[[#This Row],[Product ID]],Table1[ID],Table1[Product_Name])</f>
        <v>Blackthorn</v>
      </c>
      <c r="D20" s="7">
        <v>4</v>
      </c>
      <c r="E20" s="8">
        <v>5.0442445285182647</v>
      </c>
      <c r="F20" s="8">
        <f t="shared" si="0"/>
        <v>15.132733585554794</v>
      </c>
      <c r="G20" s="8">
        <f>Table2[[#This Row],[Sale Price 
per Unit]]*Table2[[#This Row],[Quantity in 
Stock]]</f>
        <v>60.530934342219176</v>
      </c>
      <c r="H20" s="7">
        <v>2</v>
      </c>
      <c r="I20" s="7" t="str">
        <f>IF(Table2[[#This Row],[Quantity in 
Stock]]&gt;=Table2[[#This Row],[Reorder
Threshold]],"Yes","No")</f>
        <v>Yes</v>
      </c>
      <c r="J20" s="11">
        <f ca="1">IF(Table2[[#This Row],[Reorder?]]="Yes",$F$4+_xlfn.XLOOKUP(Table2[[#This Row],[Product ID]],Table1[ID],Table1[Average_Order_Time]),"")</f>
        <v>46081</v>
      </c>
    </row>
    <row r="21" spans="2:10" ht="15.75">
      <c r="B21" s="1">
        <v>118</v>
      </c>
      <c r="C21" s="7" t="str">
        <f>_xlfn.XLOOKUP(Table2[[#This Row],[Product ID]],Table1[ID],Table1[Product_Name])</f>
        <v>Nexus Prime</v>
      </c>
      <c r="D21" s="1">
        <v>0</v>
      </c>
      <c r="E21" s="2">
        <v>5.99</v>
      </c>
      <c r="F21" s="2">
        <f>E21*3</f>
        <v>17.97</v>
      </c>
      <c r="G21" s="2">
        <f>Table2[[#This Row],[Sale Price 
per Unit]]*Table2[[#This Row],[Quantity in 
Stock]]</f>
        <v>0</v>
      </c>
      <c r="H21" s="1"/>
      <c r="I21" s="15" t="str">
        <f>IF(Table2[[#This Row],[Quantity in 
Stock]]&gt;=Table2[[#This Row],[Reorder
Threshold]],"Yes","No")</f>
        <v>Yes</v>
      </c>
      <c r="J21" s="3">
        <f ca="1">IF(Table2[[#This Row],[Reorder?]]="Yes",$F$4+_xlfn.XLOOKUP(Table2[[#This Row],[Product ID]],Table1[ID],Table1[Average_Order_Time]),"")</f>
        <v>46051</v>
      </c>
    </row>
  </sheetData>
  <conditionalFormatting sqref="I8:I21">
    <cfRule type="containsText" dxfId="19" priority="1" operator="containsText" text="Yes">
      <formula>NOT(ISERROR(SEARCH("Yes",I8)))</formula>
    </cfRule>
    <cfRule type="containsText" dxfId="18" priority="2" operator="containsText" text="Yes">
      <formula>NOT(ISERROR(SEARCH("Yes",I8)))</formula>
    </cfRule>
    <cfRule type="containsText" dxfId="17" priority="3" operator="containsText" text="Yes">
      <formula>NOT(ISERROR(SEARCH("Yes",I8)))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B9EB-9896-4CDA-8FD7-ADDBDF538DEB}">
  <dimension ref="A1:G17"/>
  <sheetViews>
    <sheetView tabSelected="1" workbookViewId="0">
      <selection activeCell="D16" sqref="D16"/>
    </sheetView>
  </sheetViews>
  <sheetFormatPr defaultRowHeight="15"/>
  <cols>
    <col min="1" max="1" width="24.42578125" style="20" customWidth="1"/>
    <col min="2" max="2" width="32.42578125" bestFit="1" customWidth="1"/>
    <col min="3" max="3" width="16.140625" bestFit="1" customWidth="1"/>
    <col min="4" max="4" width="21.140625" bestFit="1" customWidth="1"/>
    <col min="5" max="5" width="12.42578125" bestFit="1" customWidth="1"/>
    <col min="6" max="6" width="15.42578125" bestFit="1" customWidth="1"/>
    <col min="7" max="7" width="10.140625" customWidth="1"/>
  </cols>
  <sheetData>
    <row r="1" spans="2:7" ht="15.75">
      <c r="B1" s="4"/>
      <c r="C1" s="4"/>
      <c r="D1" s="4"/>
      <c r="E1" s="4"/>
      <c r="F1" s="4"/>
      <c r="G1" s="4"/>
    </row>
    <row r="2" spans="2:7" ht="20.25">
      <c r="B2" s="12"/>
      <c r="C2" s="13"/>
      <c r="D2" s="13"/>
      <c r="E2" s="13"/>
      <c r="F2" s="13"/>
      <c r="G2" s="13"/>
    </row>
    <row r="3" spans="2:7" ht="15.75">
      <c r="B3" s="4"/>
      <c r="C3" s="4"/>
      <c r="D3" s="4"/>
      <c r="E3" s="4"/>
      <c r="F3" s="4"/>
      <c r="G3" s="4"/>
    </row>
    <row r="4" spans="2:7" ht="15.75">
      <c r="B4" s="4" t="s">
        <v>30</v>
      </c>
      <c r="C4" s="14">
        <f>SUM(E7:E29)</f>
        <v>145.14804722760735</v>
      </c>
      <c r="D4" s="4"/>
      <c r="E4" s="4"/>
      <c r="F4" s="4"/>
      <c r="G4" s="4"/>
    </row>
    <row r="5" spans="2:7" ht="15.75">
      <c r="B5" s="4"/>
      <c r="C5" s="4"/>
      <c r="D5" s="4"/>
      <c r="E5" s="4"/>
      <c r="F5" s="4"/>
      <c r="G5" s="4"/>
    </row>
    <row r="6" spans="2:7" s="20" customFormat="1" ht="15.75">
      <c r="B6" s="21" t="s">
        <v>4</v>
      </c>
      <c r="C6" s="21" t="s">
        <v>5</v>
      </c>
      <c r="D6" s="21" t="s">
        <v>35</v>
      </c>
      <c r="E6" s="21" t="s">
        <v>31</v>
      </c>
      <c r="F6" s="21" t="s">
        <v>32</v>
      </c>
      <c r="G6" s="21" t="s">
        <v>33</v>
      </c>
    </row>
    <row r="7" spans="2:7" ht="15.75">
      <c r="B7" s="7" cm="1">
        <f t="array" ref="B7:C14">_xlfn._xlws.FILTER(Table2[[Product ID]:[Product]],Table2[Reorder?]="Yes")</f>
        <v>102</v>
      </c>
      <c r="C7" s="7" t="str">
        <v>Silent Horizon</v>
      </c>
      <c r="D7" s="7">
        <f>_xlfn.XLOOKUP(B7,Table1[ID],Table1[Reorder_Quantity]," ")</f>
        <v>3</v>
      </c>
      <c r="E7" s="9">
        <f>IFERROR(D7*_xlfn.XLOOKUP(B7,Table2[Product ID],Table2[Cost Price per 
Unit])," ")</f>
        <v>24.348814867411853</v>
      </c>
      <c r="F7" s="4" t="str" cm="1">
        <f t="array" ref="F7:G7">_xlfn.XLOOKUP('Inventory sheet'!B8,Table1[ID],Table1[[Contact_Name]:[Email]]," ")</f>
        <v>Aisha Bello</v>
      </c>
      <c r="G7" s="4" t="str">
        <v>aisha.bello@growthline.io</v>
      </c>
    </row>
    <row r="8" spans="2:7" ht="15.75">
      <c r="B8" s="7">
        <v>104</v>
      </c>
      <c r="C8" s="7" t="str">
        <v>Wanderbeam</v>
      </c>
      <c r="D8" s="7">
        <f>_xlfn.XLOOKUP(B8,Table1[ID],Table1[Reorder_Quantity]," ")</f>
        <v>1</v>
      </c>
      <c r="E8" s="9">
        <f>IFERROR(D8*_xlfn.XLOOKUP(B8,Table2[Product ID],Table2[Cost Price per 
Unit])," ")</f>
        <v>7.1428555517562238</v>
      </c>
      <c r="F8" s="4" t="str" cm="1">
        <f t="array" ref="F8:G8">_xlfn.XLOOKUP('Inventory sheet'!B9,Table1[ID],Table1[[Contact_Name]:[Email]]," ")</f>
        <v>Daniel Okafor</v>
      </c>
      <c r="G8" s="4" t="str">
        <v>daniel.okafor@copperquill.co</v>
      </c>
    </row>
    <row r="9" spans="2:7" ht="15.75">
      <c r="B9" s="7">
        <v>105</v>
      </c>
      <c r="C9" s="7" t="str">
        <v>Lost Echo</v>
      </c>
      <c r="D9" s="7">
        <f>_xlfn.XLOOKUP(B9,Table1[ID],Table1[Reorder_Quantity]," ")</f>
        <v>2</v>
      </c>
      <c r="E9" s="9">
        <f>IFERROR(D9*_xlfn.XLOOKUP(B9,Table2[Product ID],Table2[Cost Price per 
Unit])," ")</f>
        <v>7.5339341177470374</v>
      </c>
      <c r="F9" s="4" t="str" cm="1">
        <f t="array" ref="F9:G9">_xlfn.XLOOKUP('Inventory sheet'!B10,Table1[ID],Table1[[Contact_Name]:[Email]]," ")</f>
        <v>Rhea Coleman</v>
      </c>
      <c r="G9" s="4" t="str">
        <v>rhea.coleman@echorank.io</v>
      </c>
    </row>
    <row r="10" spans="2:7" ht="15.75">
      <c r="B10" s="7">
        <v>108</v>
      </c>
      <c r="C10" s="7" t="str">
        <v>Deep Hollow</v>
      </c>
      <c r="D10" s="7">
        <f>_xlfn.XLOOKUP(B10,Table1[ID],Table1[Reorder_Quantity]," ")</f>
        <v>4</v>
      </c>
      <c r="E10" s="9">
        <f>IFERROR(D10*_xlfn.XLOOKUP(B10,Table2[Product ID],Table2[Cost Price per 
Unit])," ")</f>
        <v>29.229398953686129</v>
      </c>
      <c r="F10" s="4" t="str" cm="1">
        <f t="array" ref="F10:G10">_xlfn.XLOOKUP('Inventory sheet'!B11,Table1[ID],Table1[[Contact_Name]:[Email]]," ")</f>
        <v>Lucia Moreno</v>
      </c>
      <c r="G10" s="4" t="str">
        <v>lucia.moreno@wanderleaf.co</v>
      </c>
    </row>
    <row r="11" spans="2:7" ht="15.75">
      <c r="B11" s="7">
        <v>109</v>
      </c>
      <c r="C11" s="7" t="str">
        <v>Brokerage</v>
      </c>
      <c r="D11" s="7">
        <f>_xlfn.XLOOKUP(B11,Table1[ID],Table1[Reorder_Quantity]," ")</f>
        <v>4</v>
      </c>
      <c r="E11" s="9">
        <f>IFERROR(D11*_xlfn.XLOOKUP(B11,Table2[Product ID],Table2[Cost Price per 
Unit])," ")</f>
        <v>24.787179062797563</v>
      </c>
      <c r="F11" s="4" t="str" cm="1">
        <f t="array" ref="F11:G11">_xlfn.XLOOKUP('Inventory sheet'!B12,Table1[ID],Table1[[Contact_Name]:[Email]]," ")</f>
        <v>Ethan Cole</v>
      </c>
      <c r="G11" s="4" t="str">
        <v>ethan.cole@novasignal.io</v>
      </c>
    </row>
    <row r="12" spans="2:7" ht="15.75">
      <c r="B12" s="7">
        <v>112</v>
      </c>
      <c r="C12" s="7" t="str">
        <v>Crimson Dawn</v>
      </c>
      <c r="D12" s="7">
        <f>_xlfn.XLOOKUP(B12,Table1[ID],Table1[Reorder_Quantity]," ")</f>
        <v>4</v>
      </c>
      <c r="E12" s="9">
        <f>IFERROR(D12*_xlfn.XLOOKUP(B12,Table2[Product ID],Table2[Cost Price per 
Unit])," ")</f>
        <v>31.928886560135496</v>
      </c>
      <c r="F12" s="4" t="str" cm="1">
        <f t="array" ref="F12:G12">_xlfn.XLOOKUP('Inventory sheet'!B13,Table1[ID],Table1[[Contact_Name]:[Email]]," ")</f>
        <v>Ethan Cole</v>
      </c>
      <c r="G12" s="4" t="str">
        <v>ethan.cole@novasignal.io</v>
      </c>
    </row>
    <row r="13" spans="2:7" ht="15.75">
      <c r="B13" s="7">
        <v>116</v>
      </c>
      <c r="C13" s="7" t="str">
        <v>Blackthorn</v>
      </c>
      <c r="D13" s="7">
        <f>_xlfn.XLOOKUP(B13,Table1[ID],Table1[Reorder_Quantity]," ")</f>
        <v>4</v>
      </c>
      <c r="E13" s="9">
        <f>IFERROR(D13*_xlfn.XLOOKUP(B13,Table2[Product ID],Table2[Cost Price per 
Unit])," ")</f>
        <v>20.176978114073059</v>
      </c>
      <c r="F13" s="4" t="str" cm="1">
        <f t="array" ref="F13:G13">_xlfn.XLOOKUP('Inventory sheet'!B14,Table1[ID],Table1[[Contact_Name]:[Email]]," ")</f>
        <v>Rhea Coleman</v>
      </c>
      <c r="G13" s="4" t="str">
        <v>rhea.coleman@echorank.io</v>
      </c>
    </row>
    <row r="14" spans="2:7" ht="15.75">
      <c r="B14" s="7">
        <v>118</v>
      </c>
      <c r="C14" s="7" t="str">
        <v>Nexus Prime</v>
      </c>
      <c r="D14" s="4"/>
      <c r="E14" s="4"/>
      <c r="F14" s="4"/>
      <c r="G14" s="4"/>
    </row>
    <row r="15" spans="2:7" ht="15.75">
      <c r="B15" s="4"/>
      <c r="C15" s="4"/>
      <c r="D15" s="4"/>
      <c r="E15" s="4"/>
      <c r="F15" s="4"/>
      <c r="G15" s="4"/>
    </row>
    <row r="16" spans="2:7" ht="15.75">
      <c r="B16" s="4"/>
      <c r="C16" s="4"/>
      <c r="D16" s="4"/>
      <c r="E16" s="4"/>
      <c r="F16" s="4"/>
      <c r="G16" s="4"/>
    </row>
    <row r="17" spans="2:7" ht="15.75">
      <c r="B17" s="4"/>
      <c r="C17" s="4"/>
      <c r="D17" s="4"/>
      <c r="E17" s="4"/>
      <c r="F17" s="4"/>
      <c r="G17" s="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BDA2-27BD-43EC-BA67-B60F672D5E74}">
  <dimension ref="A4:J24"/>
  <sheetViews>
    <sheetView topLeftCell="B4" workbookViewId="0">
      <selection activeCell="F10" sqref="F10"/>
    </sheetView>
  </sheetViews>
  <sheetFormatPr defaultRowHeight="15"/>
  <cols>
    <col min="1" max="1" width="24.42578125" style="16" customWidth="1"/>
    <col min="3" max="3" width="15.7109375" bestFit="1" customWidth="1"/>
    <col min="4" max="4" width="16.7109375" bestFit="1" customWidth="1"/>
    <col min="5" max="5" width="19.42578125" bestFit="1" customWidth="1"/>
    <col min="6" max="6" width="26.7109375" bestFit="1" customWidth="1"/>
    <col min="7" max="7" width="23.5703125" bestFit="1" customWidth="1"/>
    <col min="8" max="8" width="19.5703125" bestFit="1" customWidth="1"/>
    <col min="9" max="9" width="26.5703125" customWidth="1"/>
    <col min="10" max="10" width="13.5703125" bestFit="1" customWidth="1"/>
  </cols>
  <sheetData>
    <row r="4" spans="2:10" s="22" customFormat="1" ht="15.75">
      <c r="B4" s="23" t="s">
        <v>13</v>
      </c>
      <c r="C4" s="23" t="s">
        <v>60</v>
      </c>
      <c r="D4" s="23" t="s">
        <v>61</v>
      </c>
      <c r="E4" s="23" t="s">
        <v>62</v>
      </c>
      <c r="F4" s="24" t="s">
        <v>63</v>
      </c>
      <c r="G4" s="24" t="s">
        <v>64</v>
      </c>
      <c r="H4" s="23" t="s">
        <v>89</v>
      </c>
      <c r="I4" s="23" t="s">
        <v>33</v>
      </c>
      <c r="J4" s="23" t="s">
        <v>14</v>
      </c>
    </row>
    <row r="5" spans="2:10">
      <c r="B5" s="1">
        <v>101</v>
      </c>
      <c r="C5" t="s">
        <v>65</v>
      </c>
      <c r="D5" t="s">
        <v>15</v>
      </c>
      <c r="E5" t="s">
        <v>66</v>
      </c>
      <c r="F5" s="10">
        <v>8</v>
      </c>
      <c r="G5" s="1">
        <v>2</v>
      </c>
      <c r="H5" t="s">
        <v>36</v>
      </c>
      <c r="I5" s="25" t="s">
        <v>37</v>
      </c>
      <c r="J5" s="26" t="s">
        <v>16</v>
      </c>
    </row>
    <row r="6" spans="2:10">
      <c r="B6" s="1">
        <f>B5+1</f>
        <v>102</v>
      </c>
      <c r="C6" t="s">
        <v>67</v>
      </c>
      <c r="D6" t="s">
        <v>17</v>
      </c>
      <c r="E6" t="s">
        <v>68</v>
      </c>
      <c r="F6" s="10">
        <v>12</v>
      </c>
      <c r="G6" s="1">
        <v>3</v>
      </c>
      <c r="H6" t="s">
        <v>38</v>
      </c>
      <c r="I6" s="25" t="s">
        <v>39</v>
      </c>
      <c r="J6" s="26" t="s">
        <v>16</v>
      </c>
    </row>
    <row r="7" spans="2:10">
      <c r="B7" s="1">
        <f t="shared" ref="B7:B24" si="0">B6+1</f>
        <v>103</v>
      </c>
      <c r="C7" t="s">
        <v>69</v>
      </c>
      <c r="D7" t="s">
        <v>18</v>
      </c>
      <c r="E7" t="s">
        <v>70</v>
      </c>
      <c r="F7" s="10">
        <v>28</v>
      </c>
      <c r="G7" s="1">
        <v>4</v>
      </c>
      <c r="H7" t="s">
        <v>34</v>
      </c>
      <c r="I7" s="25" t="s">
        <v>40</v>
      </c>
      <c r="J7" s="26" t="s">
        <v>16</v>
      </c>
    </row>
    <row r="8" spans="2:10">
      <c r="B8" s="1">
        <f t="shared" si="0"/>
        <v>104</v>
      </c>
      <c r="C8" t="s">
        <v>71</v>
      </c>
      <c r="D8" t="s">
        <v>19</v>
      </c>
      <c r="E8" t="s">
        <v>72</v>
      </c>
      <c r="F8" s="10">
        <v>9</v>
      </c>
      <c r="G8" s="1">
        <v>1</v>
      </c>
      <c r="H8" t="s">
        <v>41</v>
      </c>
      <c r="I8" s="25" t="s">
        <v>42</v>
      </c>
      <c r="J8" s="26" t="s">
        <v>16</v>
      </c>
    </row>
    <row r="9" spans="2:10">
      <c r="B9" s="1">
        <f t="shared" si="0"/>
        <v>105</v>
      </c>
      <c r="C9" t="s">
        <v>73</v>
      </c>
      <c r="D9" t="s">
        <v>20</v>
      </c>
      <c r="E9" t="s">
        <v>66</v>
      </c>
      <c r="F9" s="10">
        <v>7</v>
      </c>
      <c r="G9" s="1">
        <v>2</v>
      </c>
      <c r="H9" t="s">
        <v>43</v>
      </c>
      <c r="I9" s="25" t="s">
        <v>44</v>
      </c>
      <c r="J9" s="26" t="s">
        <v>16</v>
      </c>
    </row>
    <row r="10" spans="2:10">
      <c r="B10" s="1">
        <f t="shared" si="0"/>
        <v>106</v>
      </c>
      <c r="C10" t="s">
        <v>74</v>
      </c>
      <c r="D10" t="s">
        <v>21</v>
      </c>
      <c r="E10" t="s">
        <v>66</v>
      </c>
      <c r="F10" s="10">
        <v>7</v>
      </c>
      <c r="G10" s="1">
        <v>2</v>
      </c>
      <c r="H10" t="s">
        <v>43</v>
      </c>
      <c r="I10" s="25" t="s">
        <v>44</v>
      </c>
      <c r="J10" s="26" t="s">
        <v>16</v>
      </c>
    </row>
    <row r="11" spans="2:10">
      <c r="B11" s="1">
        <f t="shared" si="0"/>
        <v>107</v>
      </c>
      <c r="C11" t="s">
        <v>75</v>
      </c>
      <c r="D11" t="s">
        <v>22</v>
      </c>
      <c r="E11" t="s">
        <v>66</v>
      </c>
      <c r="F11" s="10">
        <v>8</v>
      </c>
      <c r="G11" s="1">
        <v>2</v>
      </c>
      <c r="H11" t="s">
        <v>43</v>
      </c>
      <c r="I11" s="25" t="s">
        <v>44</v>
      </c>
      <c r="J11" s="26" t="s">
        <v>16</v>
      </c>
    </row>
    <row r="12" spans="2:10">
      <c r="B12" s="1">
        <f t="shared" si="0"/>
        <v>108</v>
      </c>
      <c r="C12" t="s">
        <v>76</v>
      </c>
      <c r="D12" t="s">
        <v>23</v>
      </c>
      <c r="E12" t="s">
        <v>70</v>
      </c>
      <c r="F12" s="10">
        <v>30</v>
      </c>
      <c r="G12" s="1">
        <v>4</v>
      </c>
      <c r="H12" t="s">
        <v>34</v>
      </c>
      <c r="I12" s="25" t="s">
        <v>40</v>
      </c>
      <c r="J12" s="26" t="s">
        <v>16</v>
      </c>
    </row>
    <row r="13" spans="2:10">
      <c r="B13" s="1">
        <f t="shared" si="0"/>
        <v>109</v>
      </c>
      <c r="C13" t="s">
        <v>77</v>
      </c>
      <c r="D13" t="s">
        <v>21</v>
      </c>
      <c r="E13" t="s">
        <v>70</v>
      </c>
      <c r="F13" s="10">
        <v>30</v>
      </c>
      <c r="G13" s="1">
        <v>4</v>
      </c>
      <c r="H13" t="s">
        <v>34</v>
      </c>
      <c r="I13" s="25" t="s">
        <v>40</v>
      </c>
      <c r="J13" s="26" t="s">
        <v>16</v>
      </c>
    </row>
    <row r="14" spans="2:10">
      <c r="B14" s="1">
        <f t="shared" si="0"/>
        <v>110</v>
      </c>
      <c r="C14" t="s">
        <v>78</v>
      </c>
      <c r="D14" t="s">
        <v>24</v>
      </c>
      <c r="E14" t="s">
        <v>70</v>
      </c>
      <c r="F14" s="10">
        <v>30</v>
      </c>
      <c r="G14" s="1">
        <v>4</v>
      </c>
      <c r="H14" t="s">
        <v>34</v>
      </c>
      <c r="I14" s="25" t="s">
        <v>40</v>
      </c>
      <c r="J14" s="26" t="s">
        <v>16</v>
      </c>
    </row>
    <row r="15" spans="2:10">
      <c r="B15" s="1">
        <f t="shared" si="0"/>
        <v>111</v>
      </c>
      <c r="C15" t="s">
        <v>79</v>
      </c>
      <c r="D15" t="s">
        <v>25</v>
      </c>
      <c r="E15" t="s">
        <v>45</v>
      </c>
      <c r="F15" s="10">
        <v>7</v>
      </c>
      <c r="G15" s="1">
        <v>1</v>
      </c>
      <c r="H15" t="s">
        <v>26</v>
      </c>
      <c r="I15" s="25" t="s">
        <v>46</v>
      </c>
      <c r="J15" s="26" t="s">
        <v>16</v>
      </c>
    </row>
    <row r="16" spans="2:10">
      <c r="B16" s="1">
        <f t="shared" si="0"/>
        <v>112</v>
      </c>
      <c r="C16" t="s">
        <v>80</v>
      </c>
      <c r="D16" t="s">
        <v>27</v>
      </c>
      <c r="E16" t="s">
        <v>47</v>
      </c>
      <c r="F16" s="10">
        <v>60</v>
      </c>
      <c r="G16" s="1">
        <v>4</v>
      </c>
      <c r="H16" t="s">
        <v>48</v>
      </c>
      <c r="I16" s="25" t="s">
        <v>49</v>
      </c>
      <c r="J16" s="26" t="s">
        <v>16</v>
      </c>
    </row>
    <row r="17" spans="2:10">
      <c r="B17" s="1">
        <f t="shared" si="0"/>
        <v>113</v>
      </c>
      <c r="C17" t="s">
        <v>29</v>
      </c>
      <c r="D17" t="s">
        <v>18</v>
      </c>
      <c r="E17" t="s">
        <v>50</v>
      </c>
      <c r="F17" s="10">
        <v>5</v>
      </c>
      <c r="G17" s="1">
        <v>4</v>
      </c>
      <c r="H17" t="s">
        <v>51</v>
      </c>
      <c r="I17" s="25" t="s">
        <v>52</v>
      </c>
      <c r="J17" s="26" t="s">
        <v>16</v>
      </c>
    </row>
    <row r="18" spans="2:10">
      <c r="B18" s="1">
        <f t="shared" si="0"/>
        <v>114</v>
      </c>
      <c r="C18" t="s">
        <v>81</v>
      </c>
      <c r="D18" t="s">
        <v>17</v>
      </c>
      <c r="E18" t="s">
        <v>47</v>
      </c>
      <c r="F18" s="10">
        <v>60</v>
      </c>
      <c r="G18" s="1">
        <v>4</v>
      </c>
      <c r="H18" t="s">
        <v>48</v>
      </c>
      <c r="I18" s="25" t="s">
        <v>49</v>
      </c>
      <c r="J18" s="26" t="s">
        <v>16</v>
      </c>
    </row>
    <row r="19" spans="2:10">
      <c r="B19" s="1">
        <f t="shared" si="0"/>
        <v>115</v>
      </c>
      <c r="C19" t="s">
        <v>82</v>
      </c>
      <c r="D19" t="s">
        <v>21</v>
      </c>
      <c r="E19" t="s">
        <v>47</v>
      </c>
      <c r="F19" s="10">
        <v>60</v>
      </c>
      <c r="G19" s="1">
        <v>4</v>
      </c>
      <c r="H19" t="s">
        <v>48</v>
      </c>
      <c r="I19" s="25" t="s">
        <v>49</v>
      </c>
      <c r="J19" s="26" t="s">
        <v>16</v>
      </c>
    </row>
    <row r="20" spans="2:10">
      <c r="B20" s="1">
        <f t="shared" si="0"/>
        <v>116</v>
      </c>
      <c r="C20" t="s">
        <v>83</v>
      </c>
      <c r="D20" t="s">
        <v>27</v>
      </c>
      <c r="E20" t="s">
        <v>47</v>
      </c>
      <c r="F20" s="10">
        <v>60</v>
      </c>
      <c r="G20" s="1">
        <v>4</v>
      </c>
      <c r="H20" t="s">
        <v>48</v>
      </c>
      <c r="I20" s="25" t="s">
        <v>49</v>
      </c>
      <c r="J20" s="26" t="s">
        <v>16</v>
      </c>
    </row>
    <row r="21" spans="2:10">
      <c r="B21" s="1">
        <f t="shared" si="0"/>
        <v>117</v>
      </c>
      <c r="C21" t="s">
        <v>84</v>
      </c>
      <c r="D21" t="s">
        <v>21</v>
      </c>
      <c r="E21" t="s">
        <v>47</v>
      </c>
      <c r="F21" s="10">
        <v>60</v>
      </c>
      <c r="G21" s="1">
        <v>4</v>
      </c>
      <c r="H21" t="s">
        <v>48</v>
      </c>
      <c r="I21" s="25" t="s">
        <v>49</v>
      </c>
      <c r="J21" s="26" t="s">
        <v>16</v>
      </c>
    </row>
    <row r="22" spans="2:10">
      <c r="B22" s="1">
        <f t="shared" si="0"/>
        <v>118</v>
      </c>
      <c r="C22" t="s">
        <v>85</v>
      </c>
      <c r="D22" t="s">
        <v>18</v>
      </c>
      <c r="E22" t="s">
        <v>86</v>
      </c>
      <c r="F22" s="10">
        <v>30</v>
      </c>
      <c r="G22" s="1">
        <v>4</v>
      </c>
      <c r="H22" t="s">
        <v>53</v>
      </c>
      <c r="I22" s="25" t="s">
        <v>54</v>
      </c>
      <c r="J22" s="26" t="s">
        <v>16</v>
      </c>
    </row>
    <row r="23" spans="2:10">
      <c r="B23" s="1">
        <f t="shared" si="0"/>
        <v>119</v>
      </c>
      <c r="C23" t="s">
        <v>87</v>
      </c>
      <c r="D23" t="s">
        <v>21</v>
      </c>
      <c r="E23" t="s">
        <v>55</v>
      </c>
      <c r="F23" s="10">
        <v>60</v>
      </c>
      <c r="G23" s="1">
        <v>2</v>
      </c>
      <c r="H23" t="s">
        <v>56</v>
      </c>
      <c r="I23" s="25" t="s">
        <v>57</v>
      </c>
      <c r="J23" s="26" t="s">
        <v>16</v>
      </c>
    </row>
    <row r="24" spans="2:10">
      <c r="B24" s="1">
        <f t="shared" si="0"/>
        <v>120</v>
      </c>
      <c r="C24" t="s">
        <v>88</v>
      </c>
      <c r="D24" t="s">
        <v>28</v>
      </c>
      <c r="E24" t="s">
        <v>58</v>
      </c>
      <c r="F24" s="10">
        <v>60</v>
      </c>
      <c r="G24" s="1">
        <v>4</v>
      </c>
      <c r="H24" t="s">
        <v>53</v>
      </c>
      <c r="I24" s="25" t="s">
        <v>59</v>
      </c>
      <c r="J24" s="26" t="s">
        <v>16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sheet</vt:lpstr>
      <vt:lpstr>Order summary</vt:lpstr>
      <vt:lpstr>Vendor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2025-12-12T18:53:19Z</dcterms:created>
  <dcterms:modified xsi:type="dcterms:W3CDTF">2025-12-30T13:59:18Z</dcterms:modified>
</cp:coreProperties>
</file>